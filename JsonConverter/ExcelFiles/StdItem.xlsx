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4525" windowHeight="1089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<x:sst xmlns:r="http://schemas.openxmlformats.org/officeDocument/2006/relationships" xmlns:c="http://schemas.openxmlformats.org/drawingml/2006/chart" xmlns:x="http://schemas.openxmlformats.org/spreadsheetml/2006/main" count="167" uniqueCount="94">
  <x:si>
    <x:t>용병의 녹슨 검이(가) 4초마다 적에게 10만큼 피해를 입힙니다.</x:t>
  </x:si>
  <x:si>
    <x:t>Icon/Icon_Item_Gold_1</x:t>
  </x:si>
  <x:si>
    <x:t>수박이(가) 8초마다 20만큼 회복합니다.</x:t>
  </x:si>
  <x:si>
    <x:t>Icon/Icon_Item_Gold_2</x:t>
  </x:si>
  <x:si>
    <x:t>Icon/Icon_Item_Box_2</x:t>
  </x:si>
  <x:si>
    <x:t>Icon/Icon_Item_Box_1</x:t>
  </x:si>
  <x:si>
    <x:t>Icon/Icon_Item_Box_3</x:t>
  </x:si>
  <x:si>
    <x:t>Icon/Icon_Item_Gold_3</x:t>
  </x:si>
  <x:si>
    <x:t>쌍칼</x:t>
  </x:si>
  <x:si>
    <x:t>판매가</x:t>
  </x:si>
  <x:si>
    <x:t>구매가</x:t>
  </x:si>
  <x:si>
    <x:t>Toy</x:t>
  </x:si>
  <x:si>
    <x:t>설명</x:t>
  </x:si>
  <x:si>
    <x:t>팔갑주</x:t>
  </x:si>
  <x:si>
    <x:t>용과</x:t>
  </x:si>
  <x:si>
    <x:t>파나나</x:t>
  </x:si>
  <x:si>
    <x:t>수치1</x:t>
  </x:si>
  <x:si>
    <x:t>Id</x:t>
  </x:si>
  <x:si>
    <x:t>int</x:t>
  </x:si>
  <x:si>
    <x:t>쿨타임</x:t>
  </x:si>
  <x:si>
    <x:t>등급</x:t>
  </x:si>
  <x:si>
    <x:t>수박</x:t>
  </x:si>
  <x:si>
    <x:t>수치2</x:t>
  </x:si>
  <x:si>
    <x:t>맹독 가시이(가) 4초마다 적에게 4만큼 중독을 부여합니다.</x:t>
  </x:si>
  <x:si>
    <x:t>가재의 집게이(가) 4초마다 적에게 4만큼 발화를 부여합니다.</x:t>
  </x:si>
  <x:si>
    <x:t>훈련된 새이(가) 3초마다 적에게 5만큼 피해를 입힙니다.</x:t>
  </x:si>
  <x:si>
    <x:t>조잡한 인형이(가) 2초마다 적에게 2만큼 피해를 입힙니다.</x:t>
  </x:si>
  <x:si>
    <x:t>가재의 집게</x:t>
  </x:si>
  <x:si>
    <x:t>판정타입2</x:t>
  </x:si>
  <x:si>
    <x:t>맹독 가시</x:t>
  </x:si>
  <x:si>
    <x:t>판정타입1</x:t>
  </x:si>
  <x:si>
    <x:t>낡은 흉갑</x:t>
  </x:si>
  <x:si>
    <x:t>발동타입</x:t>
  </x:si>
  <x:si>
    <x:t>아이템명</x:t>
  </x:si>
  <x:si>
    <x:t>Damage</x:t>
  </x:si>
  <x:si>
    <x:t>Weapon</x:t>
  </x:si>
  <x:si>
    <x:t>Heal</x:t>
  </x:si>
  <x:si>
    <x:t>string</x:t>
  </x:si>
  <x:si>
    <x:t>Shield</x:t>
  </x:si>
  <x:si>
    <x:t>Armor</x:t>
  </x:si>
  <x:si>
    <x:t>아이템크기</x:t>
  </x:si>
  <x:si>
    <x:t>Food</x:t>
  </x:si>
  <x:si>
    <x:t>아이템고유ID</x:t>
  </x:si>
  <x:si>
    <x:t>조잡한 인형</x:t>
  </x:si>
  <x:si>
    <x:t>가죽 허리띠</x:t>
  </x:si>
  <x:si>
    <x:t>훈련된 새</x:t>
  </x:si>
  <x:si>
    <x:t>Value2</x:t>
  </x:si>
  <x:si>
    <x:t>(name)</x:t>
  </x:si>
  <x:si>
    <x:t>Name</x:t>
  </x:si>
  <x:si>
    <x:t>아이템분류</x:t>
  </x:si>
  <x:si>
    <x:t>Grade</x:t>
  </x:si>
  <x:si>
    <x:t>아이콘위치</x:t>
  </x:si>
  <x:si>
    <x:t>Value1</x:t>
  </x:si>
  <x:si>
    <x:t>Size</x:t>
  </x:si>
  <x:si>
    <x:t>Bronze</x:t>
  </x:si>
  <x:si>
    <x:t>Tool</x:t>
  </x:si>
  <x:si>
    <x:t>Food_1_1001</x:t>
  </x:si>
  <x:si>
    <x:t>Description</x:t>
  </x:si>
  <x:si>
    <x:t>Companion</x:t>
  </x:si>
  <x:si>
    <x:t>Debuff_Burn</x:t>
  </x:si>
  <x:si>
    <x:t>BuyPrice</x:t>
  </x:si>
  <x:si>
    <x:t>ItemType</x:t>
  </x:si>
  <x:si>
    <x:t>IconPath</x:t>
  </x:si>
  <x:si>
    <x:t>Accessory</x:t>
  </x:si>
  <x:si>
    <x:t>용병의 녹슨 검</x:t>
  </x:si>
  <x:si>
    <x:t>CoolDown</x:t>
  </x:si>
  <x:si>
    <x:t>SellPrice</x:t>
  </x:si>
  <x:si>
    <x:t>ValueType2</x:t>
  </x:si>
  <x:si>
    <x:t>ValueType1</x:t>
  </x:si>
  <x:si>
    <x:t>Tool_1_1001</x:t>
  </x:si>
  <x:si>
    <x:t>Tool_1_1002</x:t>
  </x:si>
  <x:si>
    <x:t>Food_1_1002</x:t>
  </x:si>
  <x:si>
    <x:t>OnTurnStart</x:t>
  </x:si>
  <x:si>
    <x:t>Toy_1_1001</x:t>
  </x:si>
  <x:si>
    <x:t>Weapon_1_1001</x:t>
  </x:si>
  <x:si>
    <x:t>Armor_1_1001</x:t>
  </x:si>
  <x:si>
    <x:t>Armor_2_1002</x:t>
  </x:si>
  <x:si>
    <x:t>Debuff_Poison</x:t>
  </x:si>
  <x:si>
    <x:t>Weapon_2_1002</x:t>
  </x:si>
  <x:si>
    <x:t>TriggerType</x:t>
  </x:si>
  <x:si>
    <x:t>Food_2_1003</x:t>
  </x:si>
  <x:si>
    <x:t>팔갑주이(가) 6초마다 25만큼 쉴드를 획득합니다.</x:t>
  </x:si>
  <x:si>
    <x:t>낡은 흉갑이(가) 9초마다 40만큼 쉴드를 획득합니다.</x:t>
  </x:si>
  <x:si>
    <x:t>가죽 허리띠이(가) 4초마다 10만큼 쉴드를 획득합니다.</x:t>
  </x:si>
  <x:si>
    <x:t>쌍칼이(가) 7초마다 적에게 20만큼 피해를 입힙니다.</x:t>
  </x:si>
  <x:si>
    <x:t>Companion_1_1001</x:t>
  </x:si>
  <x:si>
    <x:t>Accessory_1_1001</x:t>
  </x:si>
  <x:si>
    <x:t>Icon/Icon_Item_Corn</x:t>
  </x:si>
  <x:si>
    <x:t>용과이(가) 5초마다 10만큼 쉴드를 획득합니다.</x:t>
  </x:si>
  <x:si>
    <x:t>Icon/Icon_Item_Equip_Hat_2</x:t>
  </x:si>
  <x:si>
    <x:t>파나나이(가) 8초마다 10만큼 회복합니다.</x:t>
  </x:si>
  <x:si>
    <x:t>Icon/Icon_Item_Equip_Hat_1</x:t>
  </x:si>
  <x:si>
    <x:t>고유ID 값복사용 수식</x:t>
  </x:si>
  <x:si>
    <x:t>데스크립션 값복사용 수식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</x:si>
</x:sst>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0" borderId="0" xfId="0" applyAlignment="1">
      <x:alignment horizontal="general" vertical="center"/>
    </x:xf>
    <x:xf numFmtId="0" fontId="0" fillId="0" borderId="2" xfId="0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Font="1" applyBorder="1" applyAlignment="1">
          <x:alignment horizontal="right" vertical="bottom" wrapText="1"/>
        </x:xf>
      </mc:Fallback>
    </mc:AlternateContent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14" activeCellId="0" sqref="C14:C14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3.37109375" style="2" bestFit="1" customWidth="1"/>
    <x:col min="4" max="4" width="10.69921875" style="2" bestFit="1" customWidth="1"/>
    <x:col min="5" max="5" width="7.37109375" style="2" bestFit="1" customWidth="1"/>
    <x:col min="6" max="6" width="11.42578125" style="2" bestFit="1" customWidth="1"/>
    <x:col min="7" max="7" width="13.74609375" style="2" bestFit="1" customWidth="1"/>
    <x:col min="8" max="8" width="13.14453125" style="2" customWidth="1"/>
    <x:col min="9" max="10" width="7.0859375" style="2" bestFit="1" customWidth="1"/>
    <x:col min="11" max="11" width="8.96484375" style="2" bestFit="1" customWidth="1"/>
    <x:col min="12" max="12" width="8.81640625" style="2" bestFit="1" customWidth="1"/>
    <x:col min="13" max="13" width="10.69921875" style="2" bestFit="1" customWidth="1"/>
    <x:col min="14" max="14" width="9.6875" style="2" bestFit="1" customWidth="1"/>
    <x:col min="15" max="15" width="28.42578125" style="2" customWidth="1"/>
    <x:col min="16" max="16" width="12.5703125" style="2"/>
    <x:col min="17" max="17" width="23.86328125" style="2" bestFit="1" customWidth="1"/>
    <x:col min="18" max="18" width="12.5703125" style="2"/>
    <x:col min="19" max="19" width="53.37109375" style="2" bestFit="1" customWidth="1"/>
    <x:col min="20" max="24" width="12.5703125" style="2"/>
    <x:col min="25" max="25" width="53.37109375" style="2" bestFit="1" customWidth="1"/>
    <x:col min="26" max="16384" width="12.5703125" style="2"/>
  </x:cols>
  <x:sheetData>
    <x:row r="1" spans="1:19" ht="15.75" customHeight="1">
      <x:c r="A1" s="1" t="s">
        <x:v>42</x:v>
      </x:c>
      <x:c r="B1" s="1" t="s">
        <x:v>33</x:v>
      </x:c>
      <x:c r="C1" s="1" t="s">
        <x:v>12</x:v>
      </x:c>
      <x:c r="D1" s="2" t="s">
        <x:v>49</x:v>
      </x:c>
      <x:c r="E1" s="2" t="s">
        <x:v>20</x:v>
      </x:c>
      <x:c r="F1" s="2" t="s">
        <x:v>32</x:v>
      </x:c>
      <x:c r="G1" s="2" t="s">
        <x:v>30</x:v>
      </x:c>
      <x:c r="H1" s="2" t="s">
        <x:v>28</x:v>
      </x:c>
      <x:c r="I1" s="2" t="s">
        <x:v>16</x:v>
      </x:c>
      <x:c r="J1" s="2" t="s">
        <x:v>22</x:v>
      </x:c>
      <x:c r="K1" s="2" t="s">
        <x:v>10</x:v>
      </x:c>
      <x:c r="L1" s="2" t="s">
        <x:v>9</x:v>
      </x:c>
      <x:c r="M1" s="2" t="s">
        <x:v>40</x:v>
      </x:c>
      <x:c r="N1" s="2" t="s">
        <x:v>19</x:v>
      </x:c>
      <x:c r="O1" s="2" t="s">
        <x:v>51</x:v>
      </x:c>
      <x:c r="Q1" s="2" t="s">
        <x:v>92</x:v>
      </x:c>
      <x:c r="S1" s="2" t="s">
        <x:v>93</x:v>
      </x:c>
    </x:row>
    <x:row r="2" spans="1:15" ht="12.300000000000001">
      <x:c r="A2" s="1" t="s">
        <x:v>47</x:v>
      </x:c>
      <x:c r="B2" s="1" t="s">
        <x:v>37</x:v>
      </x:c>
      <x:c r="C2" s="1" t="s">
        <x:v>37</x:v>
      </x:c>
      <x:c r="D2" s="1" t="s">
        <x:v>37</x:v>
      </x:c>
      <x:c r="E2" s="1" t="s">
        <x:v>37</x:v>
      </x:c>
      <x:c r="F2" s="1" t="s">
        <x:v>37</x:v>
      </x:c>
      <x:c r="G2" s="1" t="s">
        <x:v>37</x:v>
      </x:c>
      <x:c r="H2" s="1" t="s">
        <x:v>37</x:v>
      </x:c>
      <x:c r="I2" s="1" t="s">
        <x:v>18</x:v>
      </x:c>
      <x:c r="J2" s="1" t="s">
        <x:v>18</x:v>
      </x:c>
      <x:c r="K2" s="1" t="s">
        <x:v>18</x:v>
      </x:c>
      <x:c r="L2" s="1" t="s">
        <x:v>18</x:v>
      </x:c>
      <x:c r="M2" s="1" t="s">
        <x:v>18</x:v>
      </x:c>
      <x:c r="N2" s="1" t="s">
        <x:v>18</x:v>
      </x:c>
      <x:c r="O2" s="1" t="s">
        <x:v>37</x:v>
      </x:c>
    </x:row>
    <x:row r="3" spans="1:15" s="11" customFormat="1" ht="15.75" customHeight="1">
      <x:c r="A3" s="10" t="s">
        <x:v>17</x:v>
      </x:c>
      <x:c r="B3" s="10" t="s">
        <x:v>48</x:v>
      </x:c>
      <x:c r="C3" s="10" t="s">
        <x:v>57</x:v>
      </x:c>
      <x:c r="D3" s="13" t="s">
        <x:v>61</x:v>
      </x:c>
      <x:c r="E3" s="12" t="s">
        <x:v>50</x:v>
      </x:c>
      <x:c r="F3" s="12" t="s">
        <x:v>79</x:v>
      </x:c>
      <x:c r="G3" s="12" t="s">
        <x:v>68</x:v>
      </x:c>
      <x:c r="H3" s="12" t="s">
        <x:v>67</x:v>
      </x:c>
      <x:c r="I3" s="12" t="s">
        <x:v>52</x:v>
      </x:c>
      <x:c r="J3" s="12" t="s">
        <x:v>46</x:v>
      </x:c>
      <x:c r="K3" s="12" t="s">
        <x:v>60</x:v>
      </x:c>
      <x:c r="L3" s="12" t="s">
        <x:v>66</x:v>
      </x:c>
      <x:c r="M3" s="12" t="s">
        <x:v>53</x:v>
      </x:c>
      <x:c r="N3" s="12" t="s">
        <x:v>65</x:v>
      </x:c>
      <x:c r="O3" s="12" t="s">
        <x:v>62</x:v>
      </x:c>
    </x:row>
    <x:row r="4" spans="1:20" ht="15.75" customHeight="1">
      <x:c r="A4" s="14" t="str">
        <x:f>Q4</x:f>
        <x:v>Weapon_1_1001</x:v>
      </x:c>
      <x:c r="B4" s="15" t="s">
        <x:v>64</x:v>
      </x:c>
      <x:c r="C4" s="14" t="str">
        <x:f>S4</x:f>
        <x:v>용병의 녹슨 검이(가) 4초마다 적에게 10만큼 피해를 입힙니다.</x:v>
      </x:c>
      <x:c r="D4" s="15" t="s">
        <x:v>35</x:v>
      </x:c>
      <x:c r="E4" s="15" t="s">
        <x:v>54</x:v>
      </x:c>
      <x:c r="F4" s="14" t="s">
        <x:v>72</x:v>
      </x:c>
      <x:c r="G4" s="15" t="s">
        <x:v>34</x:v>
      </x:c>
      <x:c r="H4" s="4"/>
      <x:c r="I4" s="16">
        <x:v>10</x:v>
      </x:c>
      <x:c r="J4" s="4"/>
      <x:c r="K4" s="16">
        <x:v>2</x:v>
      </x:c>
      <x:c r="L4" s="4">
        <x:f>MAX(1,FLOOR(K4/2,1))</x:f>
        <x:v>1</x:v>
      </x:c>
      <x:c r="M4" s="4">
        <x:v>1</x:v>
      </x:c>
      <x:c r="N4" s="16">
        <x:v>4</x:v>
      </x:c>
      <x:c r="O4" s="4" t="s">
        <x:v>5</x:v>
      </x:c>
      <x:c r="P4" s="4"/>
      <x:c r="Q4" s="4" t="str">
        <x:f>$D4&amp;"_"&amp;$M4&amp;"_"&amp;(1000+COUNTIF($D$4:$D4,$D4))</x:f>
        <x:v>Weapon_1_1001</x:v>
      </x:c>
      <x:c r="R4" s="4"/>
      <x:c r="S4" s="2" t="str">
        <x:f>$B4&amp;"이(가) "&amp;IF(LEFT($F4,11)="OnTurnStart",$N4&amp;"초마다 ","전투 시작 시 바로 ")&amp;IF(ISERROR(FIND("To",$F4)),IF(OR($G4="Damage",$G4="Debuff_Poison",$G4="Debuff_Burn"),"적에게 ",""),IF(ISERROR(FIND("Left",$F4))=FALSE,"왼쪽 아이템에게 ",IF(ISERROR(FIND("Right",$F4))=FALSE,"오른쪽 아이템에게 ","양옆 아이템에게 ")))&amp;IF(ISBLANK($H4),IF($G4="Damage",$I4&amp;"만큼 피해를 입힙니다.",IF($G4="Shield",$I4&amp;"만큼 쉴드를 획득합니다.",IF($G4="Heal",$I4&amp;"만큼 회복합니다.",IF($G4="Regenerate",$I4&amp;"만큼 재생을 부여합니다.",IF($G4="Debuff_Poison",$I4&amp;"만큼 중독을 부여합니다.",IF($G4="Debuff_Burn",$I4&amp;"만큼 발화를 부여합니다.","")))))),IF($G4="Damage",$I4&amp;"만큼 피해를 입히고, ",IF($G4="Shield",$I4&amp;"만큼 쉴드를 획득하고, ",IF($G4="Heal",$I4&amp;"만큼 회복하고, ",IF($G4="Regenerate",$I4&amp;"만큼 재생을 부여하고, ",IF($G4="Debuff_Poison",$I4&amp;"만큼 중독을 부여하고, ",IF($G4="Debuff_Burn",$I4&amp;"만큼 발화를 부여하고, ",""))))))&amp;IF($H4="Damage",$J4&amp;"만큼 피해를 입힙니다.",IF($H4="Shield",$J4&amp;"만큼 쉴드를 획득합니다.",IF($H4="Heal",$J4&amp;"만큼 회복합니다.",IF($H4="Regenerate",$J4&amp;"만큼 재생을 부여합니다.",IF($H4="Debuff_Poison",$J4&amp;"만큼 중독을 부여합니다.",IF($H4="Debuff_Burn",$J4&amp;"만큼 발화를 부여합니다.","")))))))</x:f>
        <x:v>용병의 녹슨 검이(가) 4초마다 적에게 10만큼 피해를 입힙니다.</x:v>
      </x:c>
      <x:c r="T4" s="4"/>
    </x:row>
    <x:row r="5" spans="1:20" ht="15.75" customHeight="1">
      <x:c r="A5" s="14" t="str">
        <x:f t="shared" ref="A5:A15" si="0">Q5</x:f>
        <x:v>Weapon_2_1002</x:v>
      </x:c>
      <x:c r="B5" s="15" t="s">
        <x:v>8</x:v>
      </x:c>
      <x:c r="C5" s="14" t="str">
        <x:f t="shared" ref="C5:C15" si="1">S5</x:f>
        <x:v>쌍칼이(가) 7초마다 적에게 20만큼 피해를 입힙니다.</x:v>
      </x:c>
      <x:c r="D5" s="15" t="s">
        <x:v>35</x:v>
      </x:c>
      <x:c r="E5" s="15" t="s">
        <x:v>54</x:v>
      </x:c>
      <x:c r="F5" s="14" t="s">
        <x:v>72</x:v>
      </x:c>
      <x:c r="G5" s="15" t="s">
        <x:v>34</x:v>
      </x:c>
      <x:c r="H5" s="4"/>
      <x:c r="I5" s="16">
        <x:v>20</x:v>
      </x:c>
      <x:c r="J5" s="4"/>
      <x:c r="K5" s="16">
        <x:v>4</x:v>
      </x:c>
      <x:c r="L5" s="4">
        <x:f t="shared" ref="L5:L15" si="2">MAX(1,FLOOR(K5/2,1))</x:f>
        <x:v>2</x:v>
      </x:c>
      <x:c r="M5" s="4">
        <x:v>2</x:v>
      </x:c>
      <x:c r="N5" s="16">
        <x:v>7</x:v>
      </x:c>
      <x:c r="O5" s="4" t="s">
        <x:v>1</x:v>
      </x:c>
      <x:c r="P5" s="4"/>
      <x:c r="Q5" s="4" t="str">
        <x:f t="shared" ref="Q5:Q15" si="3">$D5&amp;"_"&amp;$M5&amp;"_"&amp;(1000+COUNTIF($D$4:$D5,$D5))</x:f>
        <x:v>Weapon_2_1002</x:v>
      </x:c>
      <x:c r="R5" s="4"/>
      <x:c r="S5" s="2" t="str">
        <x:f t="shared" ref="S5:S15" si="4">$B5&amp;"이(가) "&amp;IF(LEFT($F5,11)="OnTurnStart",$N5&amp;"초마다 ","전투 시작 시 바로 ")&amp;IF(ISERROR(FIND("To",$F5)),IF(OR($G5="Damage",$G5="Debuff_Poison",$G5="Debuff_Burn"),"적에게 ",""),IF(ISERROR(FIND("Left",$F5))=FALSE,"왼쪽 아이템에게 ",IF(ISERROR(FIND("Right",$F5))=FALSE,"오른쪽 아이템에게 ","양옆 아이템에게 ")))&amp;IF(ISBLANK($H5),IF($G5="Damage",$I5&amp;"만큼 피해를 입힙니다.",IF($G5="Shield",$I5&amp;"만큼 쉴드를 획득합니다.",IF($G5="Heal",$I5&amp;"만큼 회복합니다.",IF($G5="Regenerate",$I5&amp;"만큼 재생을 부여합니다.",IF($G5="Debuff_Poison",$I5&amp;"만큼 중독을 부여합니다.",IF($G5="Debuff_Burn",$I5&amp;"만큼 발화를 부여합니다.","")))))),IF($G5="Damage",$I5&amp;"만큼 피해를 입히고, ",IF($G5="Shield",$I5&amp;"만큼 쉴드를 획득하고, ",IF($G5="Heal",$I5&amp;"만큼 회복하고, ",IF($G5="Regenerate",$I5&amp;"만큼 재생을 부여하고, ",IF($G5="Debuff_Poison",$I5&amp;"만큼 중독을 부여하고, ",IF($G5="Debuff_Burn",$I5&amp;"만큼 발화를 부여하고, ",""))))))&amp;IF($H5="Damage",$J5&amp;"만큼 피해를 입힙니다.",IF($H5="Shield",$J5&amp;"만큼 쉴드를 획득합니다.",IF($H5="Heal",$J5&amp;"만큼 회복합니다.",IF($H5="Regenerate",$J5&amp;"만큼 재생을 부여합니다.",IF($H5="Debuff_Poison",$J5&amp;"만큼 중독을 부여합니다.",IF($H5="Debuff_Burn",$J5&amp;"만큼 발화를 부여합니다.","")))))))</x:f>
        <x:v>쌍칼이(가) 7초마다 적에게 20만큼 피해를 입힙니다.</x:v>
      </x:c>
      <x:c r="T5" s="4"/>
    </x:row>
    <x:row r="6" spans="1:20" ht="15.75" customHeight="1">
      <x:c r="A6" s="14" t="str">
        <x:f t="shared" si="0"/>
        <x:v>Food_1_1001</x:v>
      </x:c>
      <x:c r="B6" s="15" t="s">
        <x:v>15</x:v>
      </x:c>
      <x:c r="C6" s="14" t="str">
        <x:f t="shared" si="1"/>
        <x:v>파나나이(가) 8초마다 10만큼 회복합니다.</x:v>
      </x:c>
      <x:c r="D6" s="15" t="s">
        <x:v>41</x:v>
      </x:c>
      <x:c r="E6" s="15" t="s">
        <x:v>54</x:v>
      </x:c>
      <x:c r="F6" s="14" t="s">
        <x:v>72</x:v>
      </x:c>
      <x:c r="G6" s="15" t="s">
        <x:v>36</x:v>
      </x:c>
      <x:c r="H6" s="4"/>
      <x:c r="I6" s="16">
        <x:v>10</x:v>
      </x:c>
      <x:c r="J6" s="4"/>
      <x:c r="K6" s="16">
        <x:v>3</x:v>
      </x:c>
      <x:c r="L6" s="4">
        <x:f t="shared" si="2"/>
        <x:v>1</x:v>
      </x:c>
      <x:c r="M6" s="4">
        <x:v>1</x:v>
      </x:c>
      <x:c r="N6" s="16">
        <x:v>8</x:v>
      </x:c>
      <x:c r="O6" s="4" t="s">
        <x:v>91</x:v>
      </x:c>
      <x:c r="P6" s="4"/>
      <x:c r="Q6" s="4" t="str">
        <x:f t="shared" si="3"/>
        <x:v>Food_1_1001</x:v>
      </x:c>
      <x:c r="R6" s="4"/>
      <x:c r="S6" s="2" t="str">
        <x:f t="shared" si="4"/>
        <x:v>파나나이(가) 8초마다 10만큼 회복합니다.</x:v>
      </x:c>
      <x:c r="T6" s="4"/>
    </x:row>
    <x:row r="7" spans="1:20" ht="15.75" customHeight="1">
      <x:c r="A7" s="14" t="str">
        <x:f t="shared" si="0"/>
        <x:v>Armor_1_1001</x:v>
      </x:c>
      <x:c r="B7" s="15" t="s">
        <x:v>13</x:v>
      </x:c>
      <x:c r="C7" s="14" t="str">
        <x:f t="shared" si="1"/>
        <x:v>팔갑주이(가) 6초마다 25만큼 쉴드를 획득합니다.</x:v>
      </x:c>
      <x:c r="D7" s="15" t="s">
        <x:v>39</x:v>
      </x:c>
      <x:c r="E7" s="15" t="s">
        <x:v>54</x:v>
      </x:c>
      <x:c r="F7" s="14" t="s">
        <x:v>72</x:v>
      </x:c>
      <x:c r="G7" s="15" t="s">
        <x:v>38</x:v>
      </x:c>
      <x:c r="H7" s="4"/>
      <x:c r="I7" s="16">
        <x:v>25</x:v>
      </x:c>
      <x:c r="J7" s="4"/>
      <x:c r="K7" s="16">
        <x:v>3</x:v>
      </x:c>
      <x:c r="L7" s="4">
        <x:f t="shared" si="2"/>
        <x:v>1</x:v>
      </x:c>
      <x:c r="M7" s="4">
        <x:v>1</x:v>
      </x:c>
      <x:c r="N7" s="16">
        <x:v>6</x:v>
      </x:c>
      <x:c r="O7" s="4" t="s">
        <x:v>87</x:v>
      </x:c>
      <x:c r="P7" s="4"/>
      <x:c r="Q7" s="4" t="str">
        <x:f t="shared" si="3"/>
        <x:v>Armor_1_1001</x:v>
      </x:c>
      <x:c r="R7" s="4"/>
      <x:c r="S7" s="2" t="str">
        <x:f t="shared" si="4"/>
        <x:v>팔갑주이(가) 6초마다 25만큼 쉴드를 획득합니다.</x:v>
      </x:c>
      <x:c r="T7" s="4"/>
    </x:row>
    <x:row r="8" spans="1:20" ht="15.75" customHeight="1">
      <x:c r="A8" s="14" t="str">
        <x:f t="shared" si="0"/>
        <x:v>Armor_2_1002</x:v>
      </x:c>
      <x:c r="B8" s="15" t="s">
        <x:v>31</x:v>
      </x:c>
      <x:c r="C8" s="14" t="str">
        <x:f t="shared" si="1"/>
        <x:v>낡은 흉갑이(가) 9초마다 40만큼 쉴드를 획득합니다.</x:v>
      </x:c>
      <x:c r="D8" s="15" t="s">
        <x:v>39</x:v>
      </x:c>
      <x:c r="E8" s="15" t="s">
        <x:v>54</x:v>
      </x:c>
      <x:c r="F8" s="14" t="s">
        <x:v>72</x:v>
      </x:c>
      <x:c r="G8" s="15" t="s">
        <x:v>38</x:v>
      </x:c>
      <x:c r="H8" s="4"/>
      <x:c r="I8" s="16">
        <x:v>40</x:v>
      </x:c>
      <x:c r="J8" s="4"/>
      <x:c r="K8" s="16">
        <x:v>6</x:v>
      </x:c>
      <x:c r="L8" s="4">
        <x:f t="shared" si="2"/>
        <x:v>3</x:v>
      </x:c>
      <x:c r="M8" s="4">
        <x:v>2</x:v>
      </x:c>
      <x:c r="N8" s="16">
        <x:v>9</x:v>
      </x:c>
      <x:c r="O8" s="4" t="s">
        <x:v>5</x:v>
      </x:c>
      <x:c r="P8" s="4"/>
      <x:c r="Q8" s="4" t="str">
        <x:f t="shared" si="3"/>
        <x:v>Armor_2_1002</x:v>
      </x:c>
      <x:c r="R8" s="4"/>
      <x:c r="S8" s="2" t="str">
        <x:f t="shared" si="4"/>
        <x:v>낡은 흉갑이(가) 9초마다 40만큼 쉴드를 획득합니다.</x:v>
      </x:c>
      <x:c r="T8" s="4"/>
    </x:row>
    <x:row r="9" spans="1:20" ht="15.75" customHeight="1">
      <x:c r="A9" s="14" t="str">
        <x:f t="shared" si="0"/>
        <x:v>Food_1_1002</x:v>
      </x:c>
      <x:c r="B9" s="15" t="s">
        <x:v>14</x:v>
      </x:c>
      <x:c r="C9" s="14" t="str">
        <x:f t="shared" si="1"/>
        <x:v>용과이(가) 5초마다 10만큼 쉴드를 획득합니다.</x:v>
      </x:c>
      <x:c r="D9" s="15" t="s">
        <x:v>41</x:v>
      </x:c>
      <x:c r="E9" s="15" t="s">
        <x:v>54</x:v>
      </x:c>
      <x:c r="F9" s="14" t="s">
        <x:v>72</x:v>
      </x:c>
      <x:c r="G9" s="15" t="s">
        <x:v>38</x:v>
      </x:c>
      <x:c r="H9" s="4"/>
      <x:c r="I9" s="16">
        <x:v>10</x:v>
      </x:c>
      <x:c r="J9" s="4"/>
      <x:c r="K9" s="16">
        <x:v>2</x:v>
      </x:c>
      <x:c r="L9" s="4">
        <x:f t="shared" si="2"/>
        <x:v>1</x:v>
      </x:c>
      <x:c r="M9" s="4">
        <x:v>1</x:v>
      </x:c>
      <x:c r="N9" s="16">
        <x:v>5</x:v>
      </x:c>
      <x:c r="O9" s="4" t="s">
        <x:v>4</x:v>
      </x:c>
      <x:c r="P9" s="4"/>
      <x:c r="Q9" s="4" t="str">
        <x:f t="shared" si="3"/>
        <x:v>Food_1_1002</x:v>
      </x:c>
      <x:c r="R9" s="4"/>
      <x:c r="S9" s="2" t="str">
        <x:f t="shared" si="4"/>
        <x:v>용과이(가) 5초마다 10만큼 쉴드를 획득합니다.</x:v>
      </x:c>
      <x:c r="T9" s="4"/>
    </x:row>
    <x:row r="10" spans="1:20" ht="15.75" customHeight="1">
      <x:c r="A10" s="14" t="str">
        <x:f t="shared" si="0"/>
        <x:v>Food_2_1003</x:v>
      </x:c>
      <x:c r="B10" s="15" t="s">
        <x:v>21</x:v>
      </x:c>
      <x:c r="C10" s="14" t="str">
        <x:f t="shared" si="1"/>
        <x:v>수박이(가) 8초마다 20만큼 회복합니다.</x:v>
      </x:c>
      <x:c r="D10" s="15" t="s">
        <x:v>41</x:v>
      </x:c>
      <x:c r="E10" s="15" t="s">
        <x:v>54</x:v>
      </x:c>
      <x:c r="F10" s="14" t="s">
        <x:v>72</x:v>
      </x:c>
      <x:c r="G10" s="15" t="s">
        <x:v>36</x:v>
      </x:c>
      <x:c r="H10" s="4"/>
      <x:c r="I10" s="16">
        <x:v>20</x:v>
      </x:c>
      <x:c r="J10" s="4"/>
      <x:c r="K10" s="16">
        <x:v>4</x:v>
      </x:c>
      <x:c r="L10" s="4">
        <x:f t="shared" si="2"/>
        <x:v>2</x:v>
      </x:c>
      <x:c r="M10" s="4">
        <x:v>2</x:v>
      </x:c>
      <x:c r="N10" s="16">
        <x:v>8</x:v>
      </x:c>
      <x:c r="O10" s="4" t="s">
        <x:v>3</x:v>
      </x:c>
      <x:c r="P10" s="4"/>
      <x:c r="Q10" s="4" t="str">
        <x:f t="shared" si="3"/>
        <x:v>Food_2_1003</x:v>
      </x:c>
      <x:c r="R10" s="4"/>
      <x:c r="S10" s="2" t="str">
        <x:f t="shared" si="4"/>
        <x:v>수박이(가) 8초마다 20만큼 회복합니다.</x:v>
      </x:c>
      <x:c r="T10" s="4"/>
    </x:row>
    <x:row r="11" spans="1:20" ht="15.75" customHeight="1">
      <x:c r="A11" s="14" t="str">
        <x:f t="shared" si="0"/>
        <x:v>Tool_1_1001</x:v>
      </x:c>
      <x:c r="B11" s="15" t="s">
        <x:v>27</x:v>
      </x:c>
      <x:c r="C11" s="14" t="str">
        <x:f t="shared" si="1"/>
        <x:v>가재의 집게이(가) 4초마다 적에게 4만큼 발화를 부여합니다.</x:v>
      </x:c>
      <x:c r="D11" s="15" t="s">
        <x:v>55</x:v>
      </x:c>
      <x:c r="E11" s="15" t="s">
        <x:v>54</x:v>
      </x:c>
      <x:c r="F11" s="14" t="s">
        <x:v>72</x:v>
      </x:c>
      <x:c r="G11" s="15" t="s">
        <x:v>59</x:v>
      </x:c>
      <x:c r="H11" s="4"/>
      <x:c r="I11" s="16">
        <x:v>4</x:v>
      </x:c>
      <x:c r="J11" s="4"/>
      <x:c r="K11" s="16">
        <x:v>3</x:v>
      </x:c>
      <x:c r="L11" s="4">
        <x:f t="shared" si="2"/>
        <x:v>1</x:v>
      </x:c>
      <x:c r="M11" s="4">
        <x:v>1</x:v>
      </x:c>
      <x:c r="N11" s="16">
        <x:v>4</x:v>
      </x:c>
      <x:c r="O11" s="4" t="s">
        <x:v>89</x:v>
      </x:c>
      <x:c r="P11" s="4"/>
      <x:c r="Q11" s="4" t="str">
        <x:f t="shared" si="3"/>
        <x:v>Tool_1_1001</x:v>
      </x:c>
      <x:c r="R11" s="4"/>
      <x:c r="S11" s="2" t="str">
        <x:f t="shared" si="4"/>
        <x:v>가재의 집게이(가) 4초마다 적에게 4만큼 발화를 부여합니다.</x:v>
      </x:c>
      <x:c r="T11" s="4"/>
    </x:row>
    <x:row r="12" spans="1:20" ht="15.75" customHeight="1">
      <x:c r="A12" s="14" t="str">
        <x:f t="shared" si="0"/>
        <x:v>Tool_1_1002</x:v>
      </x:c>
      <x:c r="B12" s="15" t="s">
        <x:v>29</x:v>
      </x:c>
      <x:c r="C12" s="14" t="str">
        <x:f t="shared" si="1"/>
        <x:v>맹독 가시이(가) 4초마다 적에게 4만큼 중독을 부여합니다.</x:v>
      </x:c>
      <x:c r="D12" s="15" t="s">
        <x:v>55</x:v>
      </x:c>
      <x:c r="E12" s="15" t="s">
        <x:v>54</x:v>
      </x:c>
      <x:c r="F12" s="14" t="s">
        <x:v>72</x:v>
      </x:c>
      <x:c r="G12" s="15" t="s">
        <x:v>77</x:v>
      </x:c>
      <x:c r="H12" s="4"/>
      <x:c r="I12" s="16">
        <x:v>4</x:v>
      </x:c>
      <x:c r="J12" s="4"/>
      <x:c r="K12" s="16">
        <x:v>3</x:v>
      </x:c>
      <x:c r="L12" s="4">
        <x:f t="shared" si="2"/>
        <x:v>1</x:v>
      </x:c>
      <x:c r="M12" s="4">
        <x:v>1</x:v>
      </x:c>
      <x:c r="N12" s="16">
        <x:v>4</x:v>
      </x:c>
      <x:c r="O12" s="4" t="s">
        <x:v>87</x:v>
      </x:c>
      <x:c r="P12" s="4"/>
      <x:c r="Q12" s="4" t="str">
        <x:f t="shared" si="3"/>
        <x:v>Tool_1_1002</x:v>
      </x:c>
      <x:c r="R12" s="4"/>
      <x:c r="S12" s="2" t="str">
        <x:f t="shared" si="4"/>
        <x:v>맹독 가시이(가) 4초마다 적에게 4만큼 중독을 부여합니다.</x:v>
      </x:c>
      <x:c r="T12" s="4"/>
    </x:row>
    <x:row r="13" spans="1:20" ht="15.75" customHeight="1">
      <x:c r="A13" s="14" t="str">
        <x:f t="shared" si="0"/>
        <x:v>Companion_1_1001</x:v>
      </x:c>
      <x:c r="B13" s="15" t="s">
        <x:v>45</x:v>
      </x:c>
      <x:c r="C13" s="14" t="str">
        <x:f t="shared" si="1"/>
        <x:v>훈련된 새이(가) 3초마다 적에게 5만큼 피해를 입힙니다.</x:v>
      </x:c>
      <x:c r="D13" s="15" t="s">
        <x:v>58</x:v>
      </x:c>
      <x:c r="E13" s="15" t="s">
        <x:v>54</x:v>
      </x:c>
      <x:c r="F13" s="14" t="s">
        <x:v>72</x:v>
      </x:c>
      <x:c r="G13" s="15" t="s">
        <x:v>34</x:v>
      </x:c>
      <x:c r="H13" s="4"/>
      <x:c r="I13" s="16">
        <x:v>5</x:v>
      </x:c>
      <x:c r="J13" s="4"/>
      <x:c r="K13" s="16">
        <x:v>4</x:v>
      </x:c>
      <x:c r="L13" s="4">
        <x:f t="shared" si="2"/>
        <x:v>2</x:v>
      </x:c>
      <x:c r="M13" s="4">
        <x:v>1</x:v>
      </x:c>
      <x:c r="N13" s="16">
        <x:v>3</x:v>
      </x:c>
      <x:c r="O13" s="4" t="s">
        <x:v>4</x:v>
      </x:c>
      <x:c r="P13" s="4"/>
      <x:c r="Q13" s="4" t="str">
        <x:f t="shared" si="3"/>
        <x:v>Companion_1_1001</x:v>
      </x:c>
      <x:c r="R13" s="4"/>
      <x:c r="S13" s="2" t="str">
        <x:f t="shared" si="4"/>
        <x:v>훈련된 새이(가) 3초마다 적에게 5만큼 피해를 입힙니다.</x:v>
      </x:c>
      <x:c r="T13" s="4"/>
    </x:row>
    <x:row r="14" spans="1:20" ht="15.75" customHeight="1">
      <x:c r="A14" s="14" t="str">
        <x:f t="shared" si="0"/>
        <x:v>Accessory_1_1001</x:v>
      </x:c>
      <x:c r="B14" s="15" t="s">
        <x:v>44</x:v>
      </x:c>
      <x:c r="C14" s="14" t="str">
        <x:f t="shared" si="1"/>
        <x:v>가죽 허리띠이(가) 4초마다 10만큼 쉴드를 획득합니다.</x:v>
      </x:c>
      <x:c r="D14" s="15" t="s">
        <x:v>63</x:v>
      </x:c>
      <x:c r="E14" s="15" t="s">
        <x:v>54</x:v>
      </x:c>
      <x:c r="F14" s="14" t="s">
        <x:v>72</x:v>
      </x:c>
      <x:c r="G14" s="15" t="s">
        <x:v>38</x:v>
      </x:c>
      <x:c r="H14" s="4"/>
      <x:c r="I14" s="16">
        <x:v>10</x:v>
      </x:c>
      <x:c r="J14" s="4"/>
      <x:c r="K14" s="16">
        <x:v>3</x:v>
      </x:c>
      <x:c r="L14" s="4">
        <x:f t="shared" si="2"/>
        <x:v>1</x:v>
      </x:c>
      <x:c r="M14" s="4">
        <x:v>1</x:v>
      </x:c>
      <x:c r="N14" s="16">
        <x:v>4</x:v>
      </x:c>
      <x:c r="O14" s="4" t="s">
        <x:v>6</x:v>
      </x:c>
      <x:c r="P14" s="4"/>
      <x:c r="Q14" s="4" t="str">
        <x:f t="shared" si="3"/>
        <x:v>Accessory_1_1001</x:v>
      </x:c>
      <x:c r="R14" s="4"/>
      <x:c r="S14" s="2" t="str">
        <x:f t="shared" si="4"/>
        <x:v>가죽 허리띠이(가) 4초마다 10만큼 쉴드를 획득합니다.</x:v>
      </x:c>
      <x:c r="T14" s="4"/>
    </x:row>
    <x:row r="15" spans="1:20" ht="15.75" customHeight="1">
      <x:c r="A15" s="14" t="str">
        <x:f t="shared" si="0"/>
        <x:v>Toy_1_1001</x:v>
      </x:c>
      <x:c r="B15" s="15" t="s">
        <x:v>43</x:v>
      </x:c>
      <x:c r="C15" s="14" t="str">
        <x:f t="shared" si="1"/>
        <x:v>조잡한 인형이(가) 2초마다 적에게 2만큼 피해를 입힙니다.</x:v>
      </x:c>
      <x:c r="D15" s="15" t="s">
        <x:v>11</x:v>
      </x:c>
      <x:c r="E15" s="15" t="s">
        <x:v>54</x:v>
      </x:c>
      <x:c r="F15" s="14" t="s">
        <x:v>72</x:v>
      </x:c>
      <x:c r="G15" s="15" t="s">
        <x:v>34</x:v>
      </x:c>
      <x:c r="H15" s="4"/>
      <x:c r="I15" s="16">
        <x:v>2</x:v>
      </x:c>
      <x:c r="J15" s="4"/>
      <x:c r="K15" s="16">
        <x:v>1</x:v>
      </x:c>
      <x:c r="L15" s="4">
        <x:f t="shared" si="2"/>
        <x:v>1</x:v>
      </x:c>
      <x:c r="M15" s="4">
        <x:v>1</x:v>
      </x:c>
      <x:c r="N15" s="16">
        <x:v>2</x:v>
      </x:c>
      <x:c r="O15" s="4" t="s">
        <x:v>7</x:v>
      </x:c>
      <x:c r="P15" s="4"/>
      <x:c r="Q15" s="4" t="str">
        <x:f t="shared" si="3"/>
        <x:v>Toy_1_1001</x:v>
      </x:c>
      <x:c r="R15" s="4"/>
      <x:c r="S15" s="2" t="str">
        <x:f t="shared" si="4"/>
        <x:v>조잡한 인형이(가) 2초마다 적에게 2만큼 피해를 입힙니다.</x:v>
      </x:c>
      <x:c r="T15" s="4"/>
    </x:row>
    <x:row r="16" spans="1:3" ht="15.75" customHeight="1">
      <x:c r="A16" s="6"/>
      <x:c r="B16" s="6"/>
      <x:c r="C16" s="6"/>
    </x:row>
    <x:row r="17" spans="1:3" ht="15.75" customHeight="1">
      <x:c r="A17" s="7"/>
      <x:c r="B17" s="7"/>
      <x:c r="C17" s="7"/>
    </x:row>
    <x:row r="18" spans="1:3" ht="15.75" customHeight="1">
      <x:c r="A18" s="7"/>
      <x:c r="B18" s="7"/>
      <x:c r="C18" s="7"/>
    </x:row>
    <x:row r="19" spans="1:3" ht="15.75" customHeight="1">
      <x:c r="A19" s="14"/>
      <x:c r="B19" s="7"/>
      <x:c r="C19" s="7"/>
    </x:row>
    <x:row r="20" spans="1:3" ht="15.75" customHeight="1">
      <x:c r="A20" s="7"/>
      <x:c r="B20" s="7"/>
      <x:c r="C20" s="7"/>
    </x:row>
    <x:row r="21" spans="1:3" ht="15.75" customHeight="1">
      <x:c r="A21" s="7"/>
      <x:c r="B21" s="7"/>
      <x:c r="C21" s="7"/>
    </x:row>
    <x:row r="22" spans="1:3" ht="15.75" customHeight="1">
      <x:c r="A22" s="7"/>
      <x:c r="B22" s="7"/>
      <x:c r="C22" s="7"/>
    </x:row>
    <x:row r="23" spans="1:3" ht="15.75" customHeight="1">
      <x:c r="A23" s="7"/>
      <x:c r="B23" s="7"/>
      <x:c r="C23" s="7"/>
    </x:row>
    <x:row r="24" spans="1:3" ht="15.75" customHeight="1">
      <x:c r="A24" s="7"/>
      <x:c r="B24" s="7"/>
      <x:c r="C24" s="7"/>
    </x:row>
    <x:row r="25" spans="1:3" ht="15.75" customHeight="1">
      <x:c r="A25" s="7"/>
      <x:c r="B25" s="7"/>
      <x:c r="C25" s="7"/>
    </x:row>
    <x:row r="26" spans="1:3" ht="15.75" customHeight="1">
      <x:c r="A26" s="8"/>
      <x:c r="B26" s="8"/>
      <x:c r="C26" s="8"/>
    </x:row>
    <x:row r="27" spans="1:3" ht="15.75" customHeight="1">
      <x:c r="A27" s="8"/>
      <x:c r="B27" s="8"/>
      <x:c r="C27" s="8"/>
    </x:row>
    <x:row r="28" spans="1:3" ht="15.75" customHeight="1">
      <x:c r="A28" s="8"/>
      <x:c r="B28" s="8"/>
      <x:c r="C28" s="8"/>
    </x:row>
    <x:row r="29" spans="1:3" ht="15.75" customHeight="1">
      <x:c r="A29" s="8"/>
      <x:c r="B29" s="8"/>
      <x:c r="C29" s="8"/>
    </x:row>
    <x:row r="30" spans="1:3" ht="15.75" customHeight="1">
      <x:c r="A30" s="8"/>
      <x:c r="B30" s="8"/>
      <x:c r="C30" s="8"/>
    </x:row>
    <x:row r="31" spans="1:3" ht="15.75" customHeight="1">
      <x:c r="A31" s="8"/>
      <x:c r="B31" s="8"/>
      <x:c r="C31" s="8"/>
    </x:row>
    <x:row r="32" spans="1:3" ht="15.75" customHeight="1">
      <x:c r="A32" s="9"/>
      <x:c r="B32" s="9"/>
      <x:c r="C32" s="9"/>
    </x:row>
    <x:row r="33" spans="1:3" ht="15.75" customHeight="1">
      <x:c r="A33" s="9"/>
      <x:c r="B33" s="9"/>
      <x:c r="C33" s="9"/>
    </x:row>
    <x:row r="34" spans="1:3" ht="15.75" customHeight="1">
      <x:c r="A34" s="9"/>
      <x:c r="B34" s="9"/>
      <x:c r="C34" s="9"/>
    </x:row>
    <x:row r="35" spans="1:3" ht="15.75" customHeight="1">
      <x:c r="A35" s="9"/>
      <x:c r="B35" s="9"/>
      <x:c r="C35" s="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180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rylro</cp:lastModifiedBy>
  <cp:revision>15</cp:revision>
  <dcterms:created xsi:type="dcterms:W3CDTF">2026-05-14T12:45:26.356</dcterms:created>
  <dcterms:modified xsi:type="dcterms:W3CDTF">2026-05-28T05:51:57.787</dcterms:modified>
  <cp:version>0906.0200.01</cp:version>
</cp:coreProperties>
</file>